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Data" sheetId="2" state="visible" r:id="rId2"/>
    <sheet xmlns:r="http://schemas.openxmlformats.org/officeDocument/2006/relationships" name="IssueData" sheetId="3" state="visible" r:id="rId3"/>
    <sheet xmlns:r="http://schemas.openxmlformats.org/officeDocument/2006/relationships" name="ValData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A4A4A"/>
      <sz val="9"/>
    </font>
    <font>
      <name val="Arial"/>
      <b val="1"/>
      <color rgb="00FFFFFF"/>
      <sz val="9"/>
    </font>
    <font>
      <name val="Arial"/>
      <b val="1"/>
      <color rgb="00FFFFFF"/>
      <sz val="30"/>
    </font>
    <font>
      <name val="Arial"/>
      <color rgb="00FFFFFF"/>
      <sz val="8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888888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b val="1"/>
      <sz val="9"/>
    </font>
    <font>
      <name val="Arial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E8D5F0"/>
      </patternFill>
    </fill>
    <fill>
      <patternFill patternType="solid">
        <fgColor rgb="001E7E34"/>
      </patternFill>
    </fill>
    <fill>
      <patternFill patternType="solid">
        <fgColor rgb="00B22222"/>
      </patternFill>
    </fill>
    <fill>
      <patternFill patternType="solid">
        <fgColor rgb="00FF8C00"/>
      </patternFill>
    </fill>
    <fill>
      <patternFill patternType="solid">
        <fgColor rgb="00006B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6A"/>
      </patternFill>
    </fill>
    <fill>
      <patternFill patternType="solid">
        <fgColor rgb="00D4EDDA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FFFF99"/>
      </patternFill>
    </fill>
    <fill>
      <patternFill patternType="solid">
        <fgColor rgb="00F5D0E5"/>
      </patternFill>
    </fill>
  </fills>
  <borders count="6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164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7" fillId="9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164" fontId="8" fillId="3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164" fontId="8" fillId="11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164" fontId="8" fillId="13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7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164" fontId="7" fillId="11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2D8B"/>
    <outlinePr summaryBelow="1" summaryRight="1"/>
    <pageSetUpPr/>
  </sheetPr>
  <dimension ref="B2:I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5" customHeight="1"/>
    <row r="2" ht="45" customHeight="1">
      <c r="B2" s="1" t="inlineStr">
        <is>
          <t>MODEL ACTIVITY TRACKER — EXECUTIVE DASHBOARD  |  Q1-2025 → Q1-2026</t>
        </is>
      </c>
    </row>
    <row r="3" ht="8" customHeight="1"/>
    <row r="4" ht="22" customHeight="1">
      <c r="B4" s="2" t="inlineStr">
        <is>
          <t>Reporting Period: Q1-2025 → Q1-2026   |   OGM Plan Review Cutoff: 07/01/2025   |   QC Release Cutoff: 10/01/2025</t>
        </is>
      </c>
    </row>
    <row r="5" ht="5" customHeight="1"/>
    <row r="6" ht="22" customHeight="1">
      <c r="B6" s="3" t="inlineStr">
        <is>
          <t>Total Models
Tracked</t>
        </is>
      </c>
      <c r="D6" s="4" t="inlineStr">
        <is>
          <t>Assessments
Completed ✓</t>
        </is>
      </c>
      <c r="F6" s="5" t="inlineStr">
        <is>
          <t>Models
with Issues</t>
        </is>
      </c>
      <c r="H6" s="6" t="inlineStr">
        <is>
          <t>No Validation
in Period</t>
        </is>
      </c>
    </row>
    <row r="7" ht="36" customHeight="1">
      <c r="B7" s="7">
        <f>SummaryData!B3</f>
        <v/>
      </c>
      <c r="D7" s="8">
        <f>SummaryData!B4</f>
        <v/>
      </c>
      <c r="F7" s="9">
        <f>SummaryData!B5</f>
        <v/>
      </c>
      <c r="H7" s="10">
        <f>SummaryData!B6</f>
        <v/>
      </c>
    </row>
    <row r="8" ht="36" customHeight="1"/>
    <row r="9" ht="16" customHeight="1">
      <c r="B9" s="11" t="inlineStr"/>
      <c r="D9" s="12" t="inlineStr"/>
      <c r="F9" s="13" t="inlineStr"/>
      <c r="H9" s="14" t="inlineStr"/>
    </row>
    <row r="10" ht="5" customHeight="1"/>
    <row r="11" ht="5" customHeight="1"/>
    <row r="12" ht="24" customHeight="1">
      <c r="B12" s="15" t="inlineStr">
        <is>
          <t xml:space="preserve">  ▶  COMPLETION STATUS BY MODEL TYPE</t>
        </is>
      </c>
    </row>
    <row r="13" ht="20" customHeight="1">
      <c r="B13" s="16" t="inlineStr">
        <is>
          <t>Model Type</t>
        </is>
      </c>
      <c r="C13" s="16" t="inlineStr">
        <is>
          <t>Total</t>
        </is>
      </c>
      <c r="D13" s="16" t="inlineStr">
        <is>
          <t>Completed</t>
        </is>
      </c>
      <c r="E13" s="16" t="inlineStr">
        <is>
          <t>Completion %</t>
        </is>
      </c>
      <c r="F13" s="16" t="inlineStr">
        <is>
          <t>In Use</t>
        </is>
      </c>
      <c r="G13" s="16" t="inlineStr">
        <is>
          <t>Not In Use</t>
        </is>
      </c>
      <c r="H13" s="16" t="inlineStr">
        <is>
          <t>Retired</t>
        </is>
      </c>
      <c r="I13" s="16" t="inlineStr">
        <is>
          <t>Cancelled</t>
        </is>
      </c>
    </row>
    <row r="14" ht="18" customHeight="1">
      <c r="B14" s="17" t="inlineStr">
        <is>
          <t>Model</t>
        </is>
      </c>
      <c r="C14" s="18">
        <f>SummaryData!C2</f>
        <v/>
      </c>
      <c r="D14" s="18">
        <f>SummaryData!D2</f>
        <v/>
      </c>
      <c r="E14" s="19">
        <f>SummaryData!E2</f>
        <v/>
      </c>
      <c r="F14" s="18">
        <f>SummaryData!F2</f>
        <v/>
      </c>
      <c r="G14" s="18">
        <f>SummaryData!G2</f>
        <v/>
      </c>
      <c r="H14" s="18">
        <f>SummaryData!H2</f>
        <v/>
      </c>
      <c r="I14" s="18">
        <f>SummaryData!I2</f>
        <v/>
      </c>
    </row>
    <row r="15" ht="18" customHeight="1">
      <c r="B15" s="20" t="inlineStr">
        <is>
          <t>EUC</t>
        </is>
      </c>
      <c r="C15" s="21">
        <f>SummaryData!C3</f>
        <v/>
      </c>
      <c r="D15" s="21">
        <f>SummaryData!D3</f>
        <v/>
      </c>
      <c r="E15" s="22">
        <f>SummaryData!E3</f>
        <v/>
      </c>
      <c r="F15" s="21">
        <f>SummaryData!F3</f>
        <v/>
      </c>
      <c r="G15" s="21">
        <f>SummaryData!G3</f>
        <v/>
      </c>
      <c r="H15" s="21">
        <f>SummaryData!H3</f>
        <v/>
      </c>
      <c r="I15" s="21">
        <f>SummaryData!I3</f>
        <v/>
      </c>
    </row>
    <row r="16" ht="18" customHeight="1">
      <c r="B16" s="17" t="inlineStr">
        <is>
          <t>Non-Model/Non-EUC</t>
        </is>
      </c>
      <c r="C16" s="18">
        <f>SummaryData!C4</f>
        <v/>
      </c>
      <c r="D16" s="18">
        <f>SummaryData!D4</f>
        <v/>
      </c>
      <c r="E16" s="19">
        <f>SummaryData!E4</f>
        <v/>
      </c>
      <c r="F16" s="18">
        <f>SummaryData!F4</f>
        <v/>
      </c>
      <c r="G16" s="18">
        <f>SummaryData!G4</f>
        <v/>
      </c>
      <c r="H16" s="18">
        <f>SummaryData!H4</f>
        <v/>
      </c>
      <c r="I16" s="18">
        <f>SummaryData!I4</f>
        <v/>
      </c>
    </row>
    <row r="17" ht="18" customHeight="1">
      <c r="B17" s="23" t="inlineStr">
        <is>
          <t>Grand Total</t>
        </is>
      </c>
      <c r="C17" s="24">
        <f>SummaryData!C5</f>
        <v/>
      </c>
      <c r="D17" s="24">
        <f>SummaryData!D5</f>
        <v/>
      </c>
      <c r="E17" s="25">
        <f>SummaryData!E5</f>
        <v/>
      </c>
      <c r="F17" s="24">
        <f>SummaryData!F5</f>
        <v/>
      </c>
      <c r="G17" s="24">
        <f>SummaryData!G5</f>
        <v/>
      </c>
      <c r="H17" s="24">
        <f>SummaryData!H5</f>
        <v/>
      </c>
      <c r="I17" s="24">
        <f>SummaryData!I5</f>
        <v/>
      </c>
    </row>
    <row r="18" ht="18" customHeight="1"/>
    <row r="19" ht="5" customHeight="1"/>
    <row r="20" ht="24" customHeight="1">
      <c r="B20" s="26" t="inlineStr">
        <is>
          <t xml:space="preserve">  ▶  ISSUE CATEGORY BREAKDOWN  (from Comments Column)</t>
        </is>
      </c>
    </row>
    <row r="21" ht="20" customHeight="1">
      <c r="B21" s="27" t="inlineStr">
        <is>
          <t>#</t>
        </is>
      </c>
      <c r="C21" s="27" t="inlineStr">
        <is>
          <t>Issue Category</t>
        </is>
      </c>
      <c r="D21" s="27" t="inlineStr">
        <is>
          <t>Count</t>
        </is>
      </c>
      <c r="E21" s="27" t="inlineStr">
        <is>
          <t>% of Total</t>
        </is>
      </c>
      <c r="F21" s="27" t="inlineStr">
        <is>
          <t>Model</t>
        </is>
      </c>
      <c r="G21" s="27" t="inlineStr">
        <is>
          <t>EUC</t>
        </is>
      </c>
      <c r="H21" s="27" t="inlineStr">
        <is>
          <t>Non-Model</t>
        </is>
      </c>
      <c r="I21" s="27" t="inlineStr">
        <is>
          <t>Priority</t>
        </is>
      </c>
    </row>
    <row r="22" ht="18" customHeight="1">
      <c r="B22" s="18" t="inlineStr">
        <is>
          <t>1</t>
        </is>
      </c>
      <c r="C22" s="17" t="inlineStr">
        <is>
          <t>AR available, OGM N/A (pre-07/01/2025)</t>
        </is>
      </c>
      <c r="D22" s="18">
        <f>IssueData!C2</f>
        <v/>
      </c>
      <c r="E22" s="19">
        <f>IssueData!D2</f>
        <v/>
      </c>
      <c r="F22" s="18">
        <f>IssueData!E2</f>
        <v/>
      </c>
      <c r="G22" s="18">
        <f>IssueData!F2</f>
        <v/>
      </c>
      <c r="H22" s="18">
        <f>IssueData!G2</f>
        <v/>
      </c>
      <c r="I22" s="28" t="inlineStr">
        <is>
          <t>Low</t>
        </is>
      </c>
    </row>
    <row r="23" ht="18" customHeight="1">
      <c r="B23" s="21" t="inlineStr">
        <is>
          <t>2</t>
        </is>
      </c>
      <c r="C23" s="20" t="inlineStr">
        <is>
          <t>LSV available, OGM N/A (pre-07/01/2025)</t>
        </is>
      </c>
      <c r="D23" s="21">
        <f>IssueData!C3</f>
        <v/>
      </c>
      <c r="E23" s="22">
        <f>IssueData!D3</f>
        <v/>
      </c>
      <c r="F23" s="21">
        <f>IssueData!E3</f>
        <v/>
      </c>
      <c r="G23" s="21">
        <f>IssueData!F3</f>
        <v/>
      </c>
      <c r="H23" s="21">
        <f>IssueData!G3</f>
        <v/>
      </c>
      <c r="I23" s="28" t="inlineStr">
        <is>
          <t>Low</t>
        </is>
      </c>
    </row>
    <row r="24" ht="18" customHeight="1">
      <c r="B24" s="18" t="inlineStr">
        <is>
          <t>3</t>
        </is>
      </c>
      <c r="C24" s="17" t="inlineStr">
        <is>
          <t>AR available, OGM missing (post-07/01/2025)</t>
        </is>
      </c>
      <c r="D24" s="18">
        <f>IssueData!C4</f>
        <v/>
      </c>
      <c r="E24" s="19">
        <f>IssueData!D4</f>
        <v/>
      </c>
      <c r="F24" s="18">
        <f>IssueData!E4</f>
        <v/>
      </c>
      <c r="G24" s="18">
        <f>IssueData!F4</f>
        <v/>
      </c>
      <c r="H24" s="18">
        <f>IssueData!G4</f>
        <v/>
      </c>
      <c r="I24" s="29" t="inlineStr">
        <is>
          <t>High</t>
        </is>
      </c>
    </row>
    <row r="25" ht="18" customHeight="1">
      <c r="B25" s="21" t="inlineStr">
        <is>
          <t>4</t>
        </is>
      </c>
      <c r="C25" s="20" t="inlineStr">
        <is>
          <t>Risk Tier Assessment insufficient</t>
        </is>
      </c>
      <c r="D25" s="21">
        <f>IssueData!C5</f>
        <v/>
      </c>
      <c r="E25" s="22">
        <f>IssueData!D5</f>
        <v/>
      </c>
      <c r="F25" s="21">
        <f>IssueData!E5</f>
        <v/>
      </c>
      <c r="G25" s="21">
        <f>IssueData!F5</f>
        <v/>
      </c>
      <c r="H25" s="21">
        <f>IssueData!G5</f>
        <v/>
      </c>
      <c r="I25" s="29" t="inlineStr">
        <is>
          <t>High</t>
        </is>
      </c>
    </row>
    <row r="26" ht="18" customHeight="1">
      <c r="B26" s="18" t="inlineStr">
        <is>
          <t>5</t>
        </is>
      </c>
      <c r="C26" s="17" t="inlineStr">
        <is>
          <t>QC wrong format (post-10/01/2025)</t>
        </is>
      </c>
      <c r="D26" s="18">
        <f>IssueData!C6</f>
        <v/>
      </c>
      <c r="E26" s="19">
        <f>IssueData!D6</f>
        <v/>
      </c>
      <c r="F26" s="18">
        <f>IssueData!E6</f>
        <v/>
      </c>
      <c r="G26" s="18">
        <f>IssueData!F6</f>
        <v/>
      </c>
      <c r="H26" s="18">
        <f>IssueData!G6</f>
        <v/>
      </c>
      <c r="I26" s="30" t="inlineStr">
        <is>
          <t>Medium</t>
        </is>
      </c>
    </row>
    <row r="27" ht="18" customHeight="1">
      <c r="B27" s="21" t="inlineStr">
        <is>
          <t>6</t>
        </is>
      </c>
      <c r="C27" s="20" t="inlineStr">
        <is>
          <t>QC not available (post-10/01/2025)</t>
        </is>
      </c>
      <c r="D27" s="21">
        <f>IssueData!C7</f>
        <v/>
      </c>
      <c r="E27" s="22">
        <f>IssueData!D7</f>
        <v/>
      </c>
      <c r="F27" s="21">
        <f>IssueData!E7</f>
        <v/>
      </c>
      <c r="G27" s="21">
        <f>IssueData!F7</f>
        <v/>
      </c>
      <c r="H27" s="21">
        <f>IssueData!G7</f>
        <v/>
      </c>
      <c r="I27" s="29" t="inlineStr">
        <is>
          <t>High</t>
        </is>
      </c>
    </row>
    <row r="28" ht="18" customHeight="1">
      <c r="B28" s="18" t="inlineStr">
        <is>
          <t>7</t>
        </is>
      </c>
      <c r="C28" s="17" t="inlineStr">
        <is>
          <t>FSV + OGM available (pre-07/01/2025)</t>
        </is>
      </c>
      <c r="D28" s="18">
        <f>IssueData!C8</f>
        <v/>
      </c>
      <c r="E28" s="19">
        <f>IssueData!D8</f>
        <v/>
      </c>
      <c r="F28" s="18">
        <f>IssueData!E8</f>
        <v/>
      </c>
      <c r="G28" s="18">
        <f>IssueData!F8</f>
        <v/>
      </c>
      <c r="H28" s="18">
        <f>IssueData!G8</f>
        <v/>
      </c>
      <c r="I28" s="28" t="inlineStr">
        <is>
          <t>Low</t>
        </is>
      </c>
    </row>
    <row r="29" ht="18" customHeight="1">
      <c r="B29" s="21" t="inlineStr">
        <is>
          <t>8</t>
        </is>
      </c>
      <c r="C29" s="20" t="inlineStr">
        <is>
          <t>FSV QC N/A (pre-10/01/2025)</t>
        </is>
      </c>
      <c r="D29" s="21">
        <f>IssueData!C9</f>
        <v/>
      </c>
      <c r="E29" s="22">
        <f>IssueData!D9</f>
        <v/>
      </c>
      <c r="F29" s="21">
        <f>IssueData!E9</f>
        <v/>
      </c>
      <c r="G29" s="21">
        <f>IssueData!F9</f>
        <v/>
      </c>
      <c r="H29" s="21">
        <f>IssueData!G9</f>
        <v/>
      </c>
      <c r="I29" s="28" t="inlineStr">
        <is>
          <t>Low</t>
        </is>
      </c>
    </row>
    <row r="30" ht="18" customHeight="1">
      <c r="B30" s="18" t="inlineStr">
        <is>
          <t>9</t>
        </is>
      </c>
      <c r="C30" s="17" t="inlineStr">
        <is>
          <t>No Validation Q1-2025 to Q1-2026</t>
        </is>
      </c>
      <c r="D30" s="18">
        <f>IssueData!C10</f>
        <v/>
      </c>
      <c r="E30" s="19">
        <f>IssueData!D10</f>
        <v/>
      </c>
      <c r="F30" s="18">
        <f>IssueData!E10</f>
        <v/>
      </c>
      <c r="G30" s="18">
        <f>IssueData!F10</f>
        <v/>
      </c>
      <c r="H30" s="18">
        <f>IssueData!G10</f>
        <v/>
      </c>
      <c r="I30" s="31" t="inlineStr">
        <is>
          <t>Critical</t>
        </is>
      </c>
    </row>
    <row r="31" ht="18" customHeight="1">
      <c r="B31" s="21" t="inlineStr">
        <is>
          <t>10</t>
        </is>
      </c>
      <c r="C31" s="20" t="inlineStr">
        <is>
          <t>Other</t>
        </is>
      </c>
      <c r="D31" s="21">
        <f>IssueData!C11</f>
        <v/>
      </c>
      <c r="E31" s="22">
        <f>IssueData!D11</f>
        <v/>
      </c>
      <c r="F31" s="21">
        <f>IssueData!E11</f>
        <v/>
      </c>
      <c r="G31" s="21">
        <f>IssueData!F11</f>
        <v/>
      </c>
      <c r="H31" s="21">
        <f>IssueData!G11</f>
        <v/>
      </c>
      <c r="I31" s="30" t="inlineStr">
        <is>
          <t>Medium</t>
        </is>
      </c>
    </row>
    <row r="32" ht="18" customHeight="1">
      <c r="B32" s="32" t="inlineStr">
        <is>
          <t>11</t>
        </is>
      </c>
      <c r="C32" s="33" t="inlineStr">
        <is>
          <t>All Required Assessments Completed ✓</t>
        </is>
      </c>
      <c r="D32" s="32">
        <f>IssueData!C12</f>
        <v/>
      </c>
      <c r="E32" s="34">
        <f>IssueData!D12</f>
        <v/>
      </c>
      <c r="F32" s="32">
        <f>IssueData!E12</f>
        <v/>
      </c>
      <c r="G32" s="32">
        <f>IssueData!F12</f>
        <v/>
      </c>
      <c r="H32" s="32">
        <f>IssueData!G12</f>
        <v/>
      </c>
      <c r="I32" s="35" t="inlineStr">
        <is>
          <t>—</t>
        </is>
      </c>
    </row>
    <row r="33" ht="18" customHeight="1"/>
    <row r="34" ht="5" customHeight="1"/>
    <row r="35" ht="24" customHeight="1">
      <c r="B35" s="36" t="inlineStr">
        <is>
          <t xml:space="preserve">  ▶  VALIDATION TYPE SUMMARY  (FSV | AR | LSV)</t>
        </is>
      </c>
    </row>
    <row r="36" ht="20" customHeight="1">
      <c r="B36" s="37" t="inlineStr">
        <is>
          <t>Validation Type</t>
        </is>
      </c>
      <c r="C36" s="37" t="inlineStr">
        <is>
          <t>Total Events</t>
        </is>
      </c>
      <c r="D36" s="37" t="inlineStr">
        <is>
          <t>Risk Tier ✓</t>
        </is>
      </c>
      <c r="E36" s="37" t="inlineStr">
        <is>
          <t>OGM Plan ✓</t>
        </is>
      </c>
      <c r="F36" s="37" t="inlineStr">
        <is>
          <t>QC ✓</t>
        </is>
      </c>
      <c r="G36" s="37" t="inlineStr">
        <is>
          <t>FSV QC ✓</t>
        </is>
      </c>
      <c r="H36" s="37" t="inlineStr">
        <is>
          <t>All Complete</t>
        </is>
      </c>
      <c r="I36" s="37" t="inlineStr">
        <is>
          <t>Completion %</t>
        </is>
      </c>
    </row>
    <row r="37" ht="18" customHeight="1">
      <c r="B37" s="17" t="inlineStr">
        <is>
          <t>Full Scope Validation (FSV)</t>
        </is>
      </c>
      <c r="C37" s="18">
        <f>ValData!B2</f>
        <v/>
      </c>
      <c r="D37" s="18">
        <f>ValData!C2</f>
        <v/>
      </c>
      <c r="E37" s="18">
        <f>ValData!D2</f>
        <v/>
      </c>
      <c r="F37" s="18">
        <f>ValData!E2</f>
        <v/>
      </c>
      <c r="G37" s="18">
        <f>ValData!F2</f>
        <v/>
      </c>
      <c r="H37" s="18">
        <f>ValData!G2</f>
        <v/>
      </c>
      <c r="I37" s="19">
        <f>ValData!H2</f>
        <v/>
      </c>
    </row>
    <row r="38" ht="18" customHeight="1">
      <c r="B38" s="20" t="inlineStr">
        <is>
          <t>Annual Review (AR)</t>
        </is>
      </c>
      <c r="C38" s="21">
        <f>ValData!B3</f>
        <v/>
      </c>
      <c r="D38" s="21">
        <f>ValData!C3</f>
        <v/>
      </c>
      <c r="E38" s="21">
        <f>ValData!D3</f>
        <v/>
      </c>
      <c r="F38" s="21">
        <f>ValData!E3</f>
        <v/>
      </c>
      <c r="G38" s="21">
        <f>ValData!F3</f>
        <v/>
      </c>
      <c r="H38" s="21">
        <f>ValData!G3</f>
        <v/>
      </c>
      <c r="I38" s="22">
        <f>ValData!H3</f>
        <v/>
      </c>
    </row>
    <row r="39" ht="18" customHeight="1">
      <c r="B39" s="17" t="inlineStr">
        <is>
          <t>Ltd. Scope Validation (LSV)</t>
        </is>
      </c>
      <c r="C39" s="18">
        <f>ValData!B4</f>
        <v/>
      </c>
      <c r="D39" s="18">
        <f>ValData!C4</f>
        <v/>
      </c>
      <c r="E39" s="18">
        <f>ValData!D4</f>
        <v/>
      </c>
      <c r="F39" s="18" t="inlineStr">
        <is>
          <t>N/A</t>
        </is>
      </c>
      <c r="G39" s="18" t="inlineStr">
        <is>
          <t>N/A</t>
        </is>
      </c>
      <c r="H39" s="18">
        <f>ValData!G4</f>
        <v/>
      </c>
      <c r="I39" s="19">
        <f>ValData!H4</f>
        <v/>
      </c>
    </row>
    <row r="40" ht="18" customHeight="1">
      <c r="B40" s="38" t="inlineStr">
        <is>
          <t>Total / Combined</t>
        </is>
      </c>
      <c r="C40" s="39">
        <f>ValData!B5</f>
        <v/>
      </c>
      <c r="D40" s="39">
        <f>ValData!C5</f>
        <v/>
      </c>
      <c r="E40" s="39">
        <f>ValData!D5</f>
        <v/>
      </c>
      <c r="F40" s="39">
        <f>ValData!E5</f>
        <v/>
      </c>
      <c r="G40" s="39">
        <f>ValData!F5</f>
        <v/>
      </c>
      <c r="H40" s="39">
        <f>ValData!G5</f>
        <v/>
      </c>
      <c r="I40" s="40">
        <f>ValData!H5</f>
        <v/>
      </c>
    </row>
    <row r="41" ht="18" customHeight="1"/>
    <row r="42" ht="5" customHeight="1"/>
    <row r="43" ht="18" customHeight="1">
      <c r="B43" s="41" t="inlineStr">
        <is>
          <t>Dashboard auto-refreshes from SummaryData, IssueData, and ValData tabs. Fill yellow cells in those tabs to update.</t>
        </is>
      </c>
    </row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18">
    <mergeCell ref="B12:I12"/>
    <mergeCell ref="D6:E6"/>
    <mergeCell ref="B6:C6"/>
    <mergeCell ref="B35:I35"/>
    <mergeCell ref="H6:I6"/>
    <mergeCell ref="F9:G9"/>
    <mergeCell ref="D7:E8"/>
    <mergeCell ref="B7:C8"/>
    <mergeCell ref="B2:I2"/>
    <mergeCell ref="B20:I20"/>
    <mergeCell ref="H7:I8"/>
    <mergeCell ref="F7:G8"/>
    <mergeCell ref="F6:G6"/>
    <mergeCell ref="B9:C9"/>
    <mergeCell ref="D9:E9"/>
    <mergeCell ref="H9:I9"/>
    <mergeCell ref="B4:I4"/>
    <mergeCell ref="B43:I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2" t="inlineStr">
        <is>
          <t>SUMMARY DATA — Fill yellow cells; formulas auto-calculate blue cells</t>
        </is>
      </c>
    </row>
    <row r="3">
      <c r="A3" s="16" t="inlineStr">
        <is>
          <t>Model Type</t>
        </is>
      </c>
      <c r="B3" s="16" t="inlineStr">
        <is>
          <t>Total</t>
        </is>
      </c>
      <c r="C3" s="16" t="inlineStr">
        <is>
          <t>Completed</t>
        </is>
      </c>
      <c r="D3" s="16" t="inlineStr">
        <is>
          <t>Compl. %</t>
        </is>
      </c>
      <c r="E3" s="16" t="inlineStr">
        <is>
          <t>In Use</t>
        </is>
      </c>
      <c r="F3" s="16" t="inlineStr">
        <is>
          <t>Not In Use</t>
        </is>
      </c>
      <c r="G3" s="16" t="inlineStr">
        <is>
          <t>Retired</t>
        </is>
      </c>
      <c r="H3" s="16" t="inlineStr">
        <is>
          <t>Cancelled</t>
        </is>
      </c>
    </row>
    <row r="4">
      <c r="A4" s="17" t="inlineStr">
        <is>
          <t>Model</t>
        </is>
      </c>
      <c r="B4" s="43" t="n">
        <v>423</v>
      </c>
      <c r="C4" s="43" t="n">
        <v>0</v>
      </c>
      <c r="D4" s="19">
        <f>D4/C4</f>
        <v/>
      </c>
      <c r="E4" s="43" t="n">
        <v>348</v>
      </c>
      <c r="F4" s="43" t="n">
        <v>2</v>
      </c>
      <c r="G4" s="43" t="n">
        <v>71</v>
      </c>
      <c r="H4" s="43" t="n">
        <v>3</v>
      </c>
    </row>
    <row r="5">
      <c r="A5" s="20" t="inlineStr">
        <is>
          <t>EUC</t>
        </is>
      </c>
      <c r="B5" s="43" t="n">
        <v>5</v>
      </c>
      <c r="C5" s="43" t="n">
        <v>0</v>
      </c>
      <c r="D5" s="22">
        <f>D5/C5</f>
        <v/>
      </c>
      <c r="E5" s="43" t="n">
        <v>5</v>
      </c>
      <c r="F5" s="43" t="n">
        <v>0</v>
      </c>
      <c r="G5" s="43" t="n">
        <v>0</v>
      </c>
      <c r="H5" s="43" t="n">
        <v>0</v>
      </c>
    </row>
    <row r="6">
      <c r="A6" s="17" t="inlineStr">
        <is>
          <t>Non-Model/Non-EUC</t>
        </is>
      </c>
      <c r="B6" s="43" t="n">
        <v>15</v>
      </c>
      <c r="C6" s="43" t="n">
        <v>0</v>
      </c>
      <c r="D6" s="19">
        <f>D6/C6</f>
        <v/>
      </c>
      <c r="E6" s="43" t="n">
        <v>14</v>
      </c>
      <c r="F6" s="43" t="n">
        <v>0</v>
      </c>
      <c r="G6" s="43" t="n">
        <v>0</v>
      </c>
      <c r="H6" s="43" t="n">
        <v>0</v>
      </c>
    </row>
    <row r="7">
      <c r="A7" s="23" t="inlineStr">
        <is>
          <t>Grand Total</t>
        </is>
      </c>
      <c r="B7" s="24">
        <f>SUM(C4:C6)</f>
        <v/>
      </c>
      <c r="C7" s="24">
        <f>SUM(D4:D6)</f>
        <v/>
      </c>
      <c r="D7" s="25">
        <f>IF(C7=0,0,D7/C7)</f>
        <v/>
      </c>
      <c r="E7" s="24">
        <f>SUM(F4:F6)</f>
        <v/>
      </c>
      <c r="F7" s="24">
        <f>SUM(G4:G6)</f>
        <v/>
      </c>
      <c r="G7" s="24">
        <f>SUM(H4:H6)</f>
        <v/>
      </c>
      <c r="H7" s="24">
        <f>SUM(I4:I6)</f>
        <v/>
      </c>
    </row>
    <row r="9">
      <c r="A9" s="44" t="inlineStr">
        <is>
          <t>KPI TOTALS (used by Dashboard KPI cards)</t>
        </is>
      </c>
      <c r="B9" s="45" t="n"/>
    </row>
    <row r="10">
      <c r="A10" s="46" t="inlineStr">
        <is>
          <t>KPI</t>
        </is>
      </c>
      <c r="B10" s="16" t="inlineStr">
        <is>
          <t>Value</t>
        </is>
      </c>
    </row>
    <row r="11">
      <c r="A11" s="20" t="inlineStr">
        <is>
          <t>Total Models Tracked</t>
        </is>
      </c>
      <c r="B11" s="21">
        <f>C7</f>
        <v/>
      </c>
    </row>
    <row r="12">
      <c r="A12" s="17" t="inlineStr">
        <is>
          <t>Assessments Completed (All Required)</t>
        </is>
      </c>
      <c r="B12" s="43" t="inlineStr">
        <is>
          <t>← fill from IssueData!C12</t>
        </is>
      </c>
    </row>
    <row r="13">
      <c r="A13" s="20" t="inlineStr">
        <is>
          <t>Models with Issues (Any Category)</t>
        </is>
      </c>
      <c r="B13" s="43" t="inlineStr">
        <is>
          <t>← fill from IssueData totals</t>
        </is>
      </c>
    </row>
    <row r="14">
      <c r="A14" s="17" t="inlineStr">
        <is>
          <t>No Validation in Period</t>
        </is>
      </c>
      <c r="B14" s="43" t="inlineStr">
        <is>
          <t>← fill from IssueData!C10</t>
        </is>
      </c>
    </row>
    <row r="16">
      <c r="A16" s="47" t="inlineStr">
        <is>
          <t>YELLOW = manual input from your Tracker pivots  |  BLUE formulas auto-calculate  |  Update after each reporting cycle</t>
        </is>
      </c>
    </row>
  </sheetData>
  <mergeCells count="3">
    <mergeCell ref="A1:I1"/>
    <mergeCell ref="A9:B9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6A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48" t="inlineStr">
        <is>
          <t>ISSUE DATA — Enter counts per category (yellow cells)</t>
        </is>
      </c>
    </row>
    <row r="2">
      <c r="A2" s="27" t="inlineStr">
        <is>
          <t>#</t>
        </is>
      </c>
      <c r="B2" s="27" t="inlineStr">
        <is>
          <t>Issue Category (Appendix Labels)</t>
        </is>
      </c>
      <c r="C2" s="27" t="inlineStr">
        <is>
          <t>Count</t>
        </is>
      </c>
      <c r="D2" s="27" t="inlineStr">
        <is>
          <t>% of Total</t>
        </is>
      </c>
      <c r="E2" s="27" t="inlineStr">
        <is>
          <t>Model Count</t>
        </is>
      </c>
      <c r="F2" s="27" t="inlineStr">
        <is>
          <t>EUC Count</t>
        </is>
      </c>
      <c r="G2" s="27" t="inlineStr">
        <is>
          <t>Non-Model</t>
        </is>
      </c>
    </row>
    <row r="3">
      <c r="A3" s="18" t="n">
        <v>1</v>
      </c>
      <c r="B3" s="17" t="inlineStr">
        <is>
          <t>AR available, OGM not applicable as it is prior to 07/01/2025</t>
        </is>
      </c>
      <c r="C3" s="43" t="n">
        <v>0</v>
      </c>
      <c r="D3" s="19">
        <f>IF(C14=0,0,C3/C14)</f>
        <v/>
      </c>
      <c r="E3" s="43" t="n">
        <v>0</v>
      </c>
      <c r="F3" s="43" t="n">
        <v>0</v>
      </c>
      <c r="G3" s="43" t="n">
        <v>0</v>
      </c>
    </row>
    <row r="4">
      <c r="A4" s="21" t="n">
        <v>2</v>
      </c>
      <c r="B4" s="20" t="inlineStr">
        <is>
          <t>LSV available, OGM not applicable as it is prior to 07/01/2025</t>
        </is>
      </c>
      <c r="C4" s="43" t="n">
        <v>0</v>
      </c>
      <c r="D4" s="22">
        <f>IF(C14=0,0,C4/C14)</f>
        <v/>
      </c>
      <c r="E4" s="43" t="n">
        <v>0</v>
      </c>
      <c r="F4" s="43" t="n">
        <v>0</v>
      </c>
      <c r="G4" s="43" t="n">
        <v>0</v>
      </c>
    </row>
    <row r="5">
      <c r="A5" s="18" t="n">
        <v>3</v>
      </c>
      <c r="B5" s="17" t="inlineStr">
        <is>
          <t>AR is available, OGM not available after 07/01/2025</t>
        </is>
      </c>
      <c r="C5" s="43" t="n">
        <v>0</v>
      </c>
      <c r="D5" s="19">
        <f>IF(C14=0,0,C5/C14)</f>
        <v/>
      </c>
      <c r="E5" s="43" t="n">
        <v>0</v>
      </c>
      <c r="F5" s="43" t="n">
        <v>0</v>
      </c>
      <c r="G5" s="43" t="n">
        <v>0</v>
      </c>
    </row>
    <row r="6">
      <c r="A6" s="21" t="n">
        <v>4</v>
      </c>
      <c r="B6" s="20" t="inlineStr">
        <is>
          <t>Risk Tier assessment is not sufficient / not detailed</t>
        </is>
      </c>
      <c r="C6" s="43" t="n">
        <v>0</v>
      </c>
      <c r="D6" s="22">
        <f>IF(C14=0,0,C6/C14)</f>
        <v/>
      </c>
      <c r="E6" s="43" t="n">
        <v>0</v>
      </c>
      <c r="F6" s="43" t="n">
        <v>0</v>
      </c>
      <c r="G6" s="43" t="n">
        <v>0</v>
      </c>
    </row>
    <row r="7">
      <c r="A7" s="18" t="n">
        <v>5</v>
      </c>
      <c r="B7" s="17" t="inlineStr">
        <is>
          <t>QC does not have the correct format, post 10/01/2025</t>
        </is>
      </c>
      <c r="C7" s="43" t="n">
        <v>0</v>
      </c>
      <c r="D7" s="19">
        <f>IF(C14=0,0,C7/C14)</f>
        <v/>
      </c>
      <c r="E7" s="43" t="n">
        <v>0</v>
      </c>
      <c r="F7" s="43" t="n">
        <v>0</v>
      </c>
      <c r="G7" s="43" t="n">
        <v>0</v>
      </c>
    </row>
    <row r="8">
      <c r="A8" s="21" t="n">
        <v>6</v>
      </c>
      <c r="B8" s="20" t="inlineStr">
        <is>
          <t>QC does not available post 10/01/2025</t>
        </is>
      </c>
      <c r="C8" s="43" t="n">
        <v>0</v>
      </c>
      <c r="D8" s="22">
        <f>IF(C14=0,0,C8/C14)</f>
        <v/>
      </c>
      <c r="E8" s="43" t="n">
        <v>0</v>
      </c>
      <c r="F8" s="43" t="n">
        <v>0</v>
      </c>
      <c r="G8" s="43" t="n">
        <v>0</v>
      </c>
    </row>
    <row r="9">
      <c r="A9" s="18" t="n">
        <v>7</v>
      </c>
      <c r="B9" s="17" t="inlineStr">
        <is>
          <t>FSV available, OGM available, prior to 07/01/2025</t>
        </is>
      </c>
      <c r="C9" s="43" t="n">
        <v>0</v>
      </c>
      <c r="D9" s="19">
        <f>IF(C14=0,0,C9/C14)</f>
        <v/>
      </c>
      <c r="E9" s="43" t="n">
        <v>0</v>
      </c>
      <c r="F9" s="43" t="n">
        <v>0</v>
      </c>
      <c r="G9" s="43" t="n">
        <v>0</v>
      </c>
    </row>
    <row r="10">
      <c r="A10" s="21" t="n">
        <v>8</v>
      </c>
      <c r="B10" s="20" t="inlineStr">
        <is>
          <t>FSV QC is not applicable as it is prior to 10/01/2025</t>
        </is>
      </c>
      <c r="C10" s="43" t="n">
        <v>0</v>
      </c>
      <c r="D10" s="22">
        <f>IF(C14=0,0,C10/C14)</f>
        <v/>
      </c>
      <c r="E10" s="43" t="n">
        <v>0</v>
      </c>
      <c r="F10" s="43" t="n">
        <v>0</v>
      </c>
      <c r="G10" s="43" t="n">
        <v>0</v>
      </c>
    </row>
    <row r="11">
      <c r="A11" s="18" t="n">
        <v>9</v>
      </c>
      <c r="B11" s="17" t="inlineStr">
        <is>
          <t>No Validation has been performed between Q1-2025 to Q1-2026</t>
        </is>
      </c>
      <c r="C11" s="43" t="n">
        <v>0</v>
      </c>
      <c r="D11" s="19">
        <f>IF(C14=0,0,C11/C14)</f>
        <v/>
      </c>
      <c r="E11" s="43" t="n">
        <v>0</v>
      </c>
      <c r="F11" s="43" t="n">
        <v>0</v>
      </c>
      <c r="G11" s="43" t="n">
        <v>0</v>
      </c>
    </row>
    <row r="12">
      <c r="A12" s="21" t="n">
        <v>10</v>
      </c>
      <c r="B12" s="20" t="inlineStr">
        <is>
          <t>Other</t>
        </is>
      </c>
      <c r="C12" s="43" t="n">
        <v>0</v>
      </c>
      <c r="D12" s="22">
        <f>IF(C14=0,0,C12/C14)</f>
        <v/>
      </c>
      <c r="E12" s="43" t="n">
        <v>0</v>
      </c>
      <c r="F12" s="43" t="n">
        <v>0</v>
      </c>
      <c r="G12" s="43" t="n">
        <v>0</v>
      </c>
    </row>
    <row r="13">
      <c r="A13" s="49" t="n">
        <v>11</v>
      </c>
      <c r="B13" s="33" t="inlineStr">
        <is>
          <t>All required assessments completed</t>
        </is>
      </c>
      <c r="C13" s="43" t="n">
        <v>0</v>
      </c>
      <c r="D13" s="50">
        <f>IF(C14=0,0,C13/C14)</f>
        <v/>
      </c>
      <c r="E13" s="43" t="n">
        <v>0</v>
      </c>
      <c r="F13" s="43" t="n">
        <v>0</v>
      </c>
      <c r="G13" s="43" t="n">
        <v>0</v>
      </c>
    </row>
    <row r="14">
      <c r="A14" s="51" t="inlineStr">
        <is>
          <t>TOTAL</t>
        </is>
      </c>
      <c r="B14" s="52" t="inlineStr">
        <is>
          <t>TOTAL</t>
        </is>
      </c>
      <c r="C14" s="51">
        <f>SUM(C3:C13)</f>
        <v/>
      </c>
      <c r="D14" s="51" t="n"/>
      <c r="E14" s="51">
        <f>SUM(E3:E13)</f>
        <v/>
      </c>
      <c r="F14" s="51">
        <f>SUM(F3:F13)</f>
        <v/>
      </c>
      <c r="G14" s="51">
        <f>SUM(G3:G13)</f>
        <v/>
      </c>
    </row>
    <row r="16">
      <c r="A16" s="53" t="inlineStr">
        <is>
          <t>Fill yellow Count cells using COUNTIF on your Tracker's Comments column:  =COUNTIF(Tracker!$Z$2:$Z$500,"*OGM not applicable*prior to 07/01/2025*")</t>
        </is>
      </c>
    </row>
  </sheetData>
  <mergeCells count="2">
    <mergeCell ref="A16:G1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4" t="inlineStr">
        <is>
          <t>VALIDATION DATA — Enter counts per type (yellow cells)</t>
        </is>
      </c>
    </row>
    <row r="2">
      <c r="A2" s="37" t="inlineStr">
        <is>
          <t>Validation Type</t>
        </is>
      </c>
      <c r="B2" s="37" t="inlineStr">
        <is>
          <t>Total Events</t>
        </is>
      </c>
      <c r="C2" s="37" t="inlineStr">
        <is>
          <t>Risk Tier ✓</t>
        </is>
      </c>
      <c r="D2" s="37" t="inlineStr">
        <is>
          <t>OGM Plan ✓</t>
        </is>
      </c>
      <c r="E2" s="37" t="inlineStr">
        <is>
          <t>QC ✓</t>
        </is>
      </c>
      <c r="F2" s="37" t="inlineStr">
        <is>
          <t>FSV QC ✓</t>
        </is>
      </c>
      <c r="G2" s="37" t="inlineStr">
        <is>
          <t>All Complete</t>
        </is>
      </c>
      <c r="H2" s="37" t="inlineStr">
        <is>
          <t>Completion %</t>
        </is>
      </c>
    </row>
    <row r="3">
      <c r="A3" s="17" t="inlineStr">
        <is>
          <t>Full Scope Validation (FSV)</t>
        </is>
      </c>
      <c r="B3" s="43" t="n">
        <v>0</v>
      </c>
      <c r="C3" s="43" t="n">
        <v>0</v>
      </c>
      <c r="D3" s="43" t="n">
        <v>0</v>
      </c>
      <c r="E3" s="43" t="n">
        <v>0</v>
      </c>
      <c r="F3" s="43" t="n">
        <v>0</v>
      </c>
      <c r="G3" s="43" t="n">
        <v>0</v>
      </c>
      <c r="H3" s="19">
        <f>IF(B3=0,0,G3/B3)</f>
        <v/>
      </c>
    </row>
    <row r="4">
      <c r="A4" s="20" t="inlineStr">
        <is>
          <t>Annual Review (AR)</t>
        </is>
      </c>
      <c r="B4" s="43" t="n">
        <v>0</v>
      </c>
      <c r="C4" s="43" t="n">
        <v>0</v>
      </c>
      <c r="D4" s="43" t="n">
        <v>0</v>
      </c>
      <c r="E4" s="43" t="n">
        <v>0</v>
      </c>
      <c r="F4" s="43" t="n">
        <v>0</v>
      </c>
      <c r="G4" s="43" t="n">
        <v>0</v>
      </c>
      <c r="H4" s="22">
        <f>IF(B4=0,0,G4/B4)</f>
        <v/>
      </c>
    </row>
    <row r="5">
      <c r="A5" s="17" t="inlineStr">
        <is>
          <t>Ltd. Scope Validation (LSV)</t>
        </is>
      </c>
      <c r="B5" s="43" t="n">
        <v>0</v>
      </c>
      <c r="C5" s="43" t="n">
        <v>0</v>
      </c>
      <c r="D5" s="43" t="n">
        <v>0</v>
      </c>
      <c r="E5" s="18" t="inlineStr">
        <is>
          <t>N/A</t>
        </is>
      </c>
      <c r="F5" s="18" t="inlineStr">
        <is>
          <t>N/A</t>
        </is>
      </c>
      <c r="G5" s="43" t="n">
        <v>0</v>
      </c>
      <c r="H5" s="19">
        <f>IF(B5=0,0,G5/B5)</f>
        <v/>
      </c>
    </row>
    <row r="6">
      <c r="A6" s="38" t="inlineStr">
        <is>
          <t>Total / Combined</t>
        </is>
      </c>
      <c r="B6" s="39">
        <f>SUM(B3:B5)</f>
        <v/>
      </c>
      <c r="C6" s="39">
        <f>SUM(C3:C5)</f>
        <v/>
      </c>
      <c r="D6" s="39">
        <f>SUM(D3:D5)</f>
        <v/>
      </c>
      <c r="E6" s="39">
        <f>SUM(E3:E5)</f>
        <v/>
      </c>
      <c r="F6" s="39">
        <f>SUM(F3:F5)</f>
        <v/>
      </c>
      <c r="G6" s="39">
        <f>SUM(G3:G5)</f>
        <v/>
      </c>
      <c r="H6" s="40">
        <f>IF(B6=0,0,G6/B6)</f>
        <v/>
      </c>
    </row>
    <row r="8">
      <c r="A8" s="53" t="inlineStr">
        <is>
          <t>LSV Rule: Only OGM Plan Review required (no QC or FSV QC check).  OGM Plan Review cutoff = 07/01/2025.  QC cutoff = 10/01/2025.  Fill 'All Complete' = count of events where ALL applicable checks are satisfied.</t>
        </is>
      </c>
    </row>
  </sheetData>
  <mergeCells count="2">
    <mergeCell ref="A8:H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  <col width="2" customWidth="1" min="3" max="3"/>
  </cols>
  <sheetData>
    <row r="1" ht="35" customHeight="1">
      <c r="A1" s="55" t="inlineStr">
        <is>
          <t>HOW TO USE THIS DASHBOARD</t>
        </is>
      </c>
    </row>
    <row r="3" ht="22" customHeight="1">
      <c r="A3" s="56" t="inlineStr">
        <is>
          <t xml:space="preserve">  STEP 1 — SummaryData sheet</t>
        </is>
      </c>
    </row>
    <row r="4" ht="90" customHeight="1">
      <c r="A4" s="57" t="inlineStr">
        <is>
          <t>Fill the YELLOW cells with model counts from your Tracker pivot tables:
  • Total models: Model / EUC / Non-Model/Non-EUC splits
  • Status: In Use / Not In Use / Retired / Cancelled per type
  • Completed count = models where comment = 'All required assessments completed'
  • Update KPI totals (rows 11-14) manually or via formulas from IssueData</t>
        </is>
      </c>
    </row>
    <row r="5"/>
    <row r="6"/>
    <row r="7"/>
    <row r="8"/>
    <row r="10" ht="22" customHeight="1">
      <c r="A10" s="56" t="inlineStr">
        <is>
          <t xml:space="preserve">  STEP 2 — IssueData sheet</t>
        </is>
      </c>
    </row>
    <row r="11" ht="90" customHeight="1">
      <c r="A11" s="57" t="inlineStr">
        <is>
          <t>Fill the YELLOW Count cells (column C) for each of the 11 issue categories.
Also fill Model / EUC / Non-Model splits (columns E-G).
Suggested formula: =COUNTIF(Tracker!$Z$2:$Z$500,"*keyword*")
Replace $Z$ with your actual Comments column letter and adjust row range.</t>
        </is>
      </c>
    </row>
    <row r="12"/>
    <row r="13"/>
    <row r="14"/>
    <row r="15"/>
    <row r="17" ht="22" customHeight="1">
      <c r="A17" s="56" t="inlineStr">
        <is>
          <t xml:space="preserve">  STEP 3 — ValData sheet</t>
        </is>
      </c>
    </row>
    <row r="18" ht="90" customHeight="1">
      <c r="A18" s="57" t="inlineStr">
        <is>
          <t>Fill the YELLOW cells for each validation type (FSV, AR, LSV):
  • Total Events = distinct validation events (NOT unique models)
  • Risk Tier Done = events where Risk Tier Assessment performed within FSV/AR
  • OGM Plan Done = events where OGM Plan Review done (only if ≥ 07/01/2025)
  • QC Done = events where QC performed (only if ≥ 10/01/2025)
  • FSV QC Done = FSV only (≥ 10/01/2025)
  • All Complete = events satisfying ALL applicable checks</t>
        </is>
      </c>
    </row>
    <row r="19"/>
    <row r="20"/>
    <row r="21"/>
    <row r="22"/>
    <row r="24" ht="22" customHeight="1">
      <c r="A24" s="56" t="inlineStr">
        <is>
          <t xml:space="preserve">  STEP 4 — Dashboard</t>
        </is>
      </c>
    </row>
    <row r="25" ht="90" customHeight="1">
      <c r="A25" s="57" t="inlineStr">
        <is>
          <t>The Dashboard tab auto-refreshes. Share or print/export it as PDF for the client.
Tip: Use Excel's 'Set Print Area' on the Dashboard tab before exporting.</t>
        </is>
      </c>
    </row>
    <row r="26"/>
    <row r="27"/>
    <row r="28"/>
    <row r="29"/>
    <row r="31" ht="22" customHeight="1">
      <c r="A31" s="56" t="inlineStr">
        <is>
          <t xml:space="preserve">  KEY BUSINESS RULES</t>
        </is>
      </c>
    </row>
    <row r="32" ht="90" customHeight="1">
      <c r="A32" s="57" t="inlineStr">
        <is>
          <t>• OGM Plan Review: Required only if FSV/AR/LSV date ≥ 07/01/2025
• QC Release: Required only if FSV/AR date ≥ 10/01/2025
• LSV: Only OGM Plan Review required. No QC, no FSV QC, no Risk Tier check.
• FSV + AR: Risk Tier Assessment + OGM Plan Review + QC (subject to cutoffs)
• Duplicate validations: Count as separate events, not per model
• Total distinct models ≠ total validation events (duplicates exist)</t>
        </is>
      </c>
    </row>
    <row r="33"/>
    <row r="34"/>
    <row r="35"/>
    <row r="36"/>
  </sheetData>
  <mergeCells count="11">
    <mergeCell ref="A10:C10"/>
    <mergeCell ref="A11:C15"/>
    <mergeCell ref="A25:C29"/>
    <mergeCell ref="A32:C36"/>
    <mergeCell ref="A1:C1"/>
    <mergeCell ref="A31:C31"/>
    <mergeCell ref="A18:C22"/>
    <mergeCell ref="A17:C17"/>
    <mergeCell ref="A3:C3"/>
    <mergeCell ref="A24:C24"/>
    <mergeCell ref="A4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2026-05-13T03:42:19Z</dcterms:created>
  <dcterms:modified xmlns:dcterms="http://purl.org/dc/terms/" xmlns:xsi="http://www.w3.org/2001/XMLSchema-instance" xsi:type="dcterms:W3CDTF">2026-05-13T03:42:19Z</dcterms:modified>
</cp:coreProperties>
</file>