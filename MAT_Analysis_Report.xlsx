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Formulas &amp;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FFFFFF"/>
      <sz val="30"/>
    </font>
    <font>
      <name val="Arial"/>
      <b val="1"/>
      <color rgb="00FFFFFF"/>
      <sz val="2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color rgb="00000000"/>
      <sz val="16"/>
    </font>
    <font>
      <name val="Arial"/>
      <b val="1"/>
      <color rgb="00C00000"/>
      <sz val="14"/>
    </font>
    <font>
      <name val="Arial"/>
      <color rgb="00C00000"/>
      <sz val="11"/>
    </font>
    <font>
      <name val="Arial"/>
      <b val="1"/>
      <color rgb="00833C00"/>
      <sz val="11"/>
    </font>
    <font>
      <name val="Arial"/>
      <b val="1"/>
      <color rgb="00833C00"/>
      <sz val="14"/>
    </font>
    <font>
      <name val="Arial"/>
      <color rgb="00833C00"/>
      <sz val="11"/>
    </font>
    <font>
      <name val="Arial"/>
      <b val="1"/>
      <color rgb="007D6608"/>
      <sz val="11"/>
    </font>
    <font>
      <name val="Arial"/>
      <b val="1"/>
      <color rgb="007D6608"/>
      <sz val="14"/>
    </font>
    <font>
      <name val="Arial"/>
      <color rgb="007D6608"/>
      <sz val="11"/>
    </font>
    <font>
      <name val="Arial"/>
      <b val="1"/>
      <color rgb="00375623"/>
      <sz val="11"/>
    </font>
    <font>
      <name val="Arial"/>
      <b val="1"/>
      <color rgb="00375623"/>
      <sz val="14"/>
    </font>
    <font>
      <name val="Arial"/>
      <color rgb="00375623"/>
      <sz val="11"/>
    </font>
    <font>
      <name val="Arial"/>
      <i val="1"/>
      <color rgb="00404040"/>
      <sz val="11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color rgb="00303030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303030"/>
      <sz val="10"/>
    </font>
    <font>
      <name val="Courier New"/>
      <color rgb="001F3864"/>
      <sz val="9"/>
    </font>
    <font>
      <name val="Arial"/>
      <i val="1"/>
      <color rgb="00505050"/>
      <sz val="11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AA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4A4A4A"/>
      </patternFill>
    </fill>
    <fill>
      <patternFill patternType="solid">
        <fgColor rgb="00FFD7D7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D9EFD9"/>
      </patternFill>
    </fill>
    <fill>
      <patternFill patternType="solid">
        <fgColor rgb="00F7F7F7"/>
      </patternFill>
    </fill>
    <fill>
      <patternFill patternType="solid">
        <fgColor rgb="00D9E1F2"/>
      </patternFill>
    </fill>
    <fill>
      <patternFill patternType="solid">
        <fgColor rgb="00F7F9FF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left" vertical="center" wrapText="1"/>
    </xf>
    <xf numFmtId="0" fontId="24" fillId="15" borderId="1" applyAlignment="1" pivotButton="0" quotePrefix="0" xfId="0">
      <alignment horizontal="left" vertical="center" wrapText="1"/>
    </xf>
    <xf numFmtId="0" fontId="24" fillId="16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left" vertical="center"/>
    </xf>
    <xf numFmtId="0" fontId="25" fillId="15" borderId="1" applyAlignment="1" pivotButton="0" quotePrefix="0" xfId="0">
      <alignment horizontal="center" vertical="center"/>
    </xf>
    <xf numFmtId="0" fontId="24" fillId="15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left" vertical="center" wrapText="1"/>
    </xf>
    <xf numFmtId="0" fontId="27" fillId="17" borderId="1" applyAlignment="1" pivotButton="0" quotePrefix="0" xfId="0">
      <alignment horizontal="left" vertical="center" wrapText="1"/>
    </xf>
    <xf numFmtId="0" fontId="25" fillId="15" borderId="1" applyAlignment="1" pivotButton="0" quotePrefix="0" xfId="0">
      <alignment horizontal="left" vertical="center" wrapText="1"/>
    </xf>
    <xf numFmtId="0" fontId="28" fillId="15" borderId="1" applyAlignment="1" pivotButton="0" quotePrefix="0" xfId="0">
      <alignment horizontal="left" vertical="center" wrapText="1"/>
    </xf>
    <xf numFmtId="0" fontId="25" fillId="16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 ht="42" customHeight="1">
      <c r="A1" s="1" t="inlineStr">
        <is>
          <t>MODEL ACTIVITY TRACKER — ANALYSIS REPORT   |   Q1-2025 → Q1-2026</t>
        </is>
      </c>
    </row>
    <row r="2" ht="18" customHeight="1">
      <c r="A2" s="2" t="inlineStr">
        <is>
          <t>Reporting Period: Q1-2025 → Q1-2026   |   Prepared: May 2026   |   Classification: Confidential</t>
        </is>
      </c>
    </row>
    <row r="4" ht="18" customHeight="1">
      <c r="A4" s="3" t="inlineStr">
        <is>
          <t>TOTAL MODELS</t>
        </is>
      </c>
      <c r="C4" s="4" t="inlineStr">
        <is>
          <t>COMPLETED ✓</t>
        </is>
      </c>
      <c r="E4" s="5" t="inlineStr">
        <is>
          <t>NO VALIDATION</t>
        </is>
      </c>
      <c r="G4" s="6" t="inlineStr">
        <is>
          <t>WITH ISSUES</t>
        </is>
      </c>
      <c r="H4" s="2" t="inlineStr">
        <is>
          <t>COMPLETION %</t>
        </is>
      </c>
    </row>
    <row r="5" ht="52" customHeight="1">
      <c r="A5" s="7" t="n">
        <v>443</v>
      </c>
      <c r="C5" s="8" t="n">
        <v>121</v>
      </c>
      <c r="E5" s="9" t="n">
        <v>35</v>
      </c>
      <c r="G5" s="10" t="n">
        <v>322</v>
      </c>
      <c r="H5" s="11">
        <f>C5/A5</f>
        <v/>
      </c>
    </row>
    <row r="6" ht="18" customHeight="1"/>
    <row r="7" ht="6" customHeight="1"/>
    <row r="8" ht="22" customHeight="1">
      <c r="A8" s="12" t="inlineStr">
        <is>
          <t>KEY FINDINGS AT A GLANCE</t>
        </is>
      </c>
    </row>
    <row r="9" ht="18" customHeight="1">
      <c r="A9" s="13" t="inlineStr">
        <is>
          <t>Severity</t>
        </is>
      </c>
      <c r="B9" s="13" t="inlineStr">
        <is>
          <t>Indicator</t>
        </is>
      </c>
      <c r="C9" s="13" t="inlineStr">
        <is>
          <t>Models</t>
        </is>
      </c>
      <c r="D9" s="13" t="inlineStr">
        <is>
          <t>Finding / Description</t>
        </is>
      </c>
    </row>
    <row r="10" ht="40" customHeight="1">
      <c r="A10" s="14" t="inlineStr">
        <is>
          <t>CRITICAL</t>
        </is>
      </c>
      <c r="B10" s="15" t="inlineStr">
        <is>
          <t>🔴</t>
        </is>
      </c>
      <c r="C10" s="16" t="n">
        <v>35</v>
      </c>
      <c r="D10" s="17" t="inlineStr">
        <is>
          <t>35 models have had NO validation activity (FSV/AR/LSV) between Q1-2025 and Q1-2026. Require immediate triage to determine if retired, in scope, or missed.</t>
        </is>
      </c>
    </row>
    <row r="11" ht="40" customHeight="1">
      <c r="A11" s="18" t="inlineStr">
        <is>
          <t>HIGH</t>
        </is>
      </c>
      <c r="B11" s="19" t="inlineStr">
        <is>
          <t>🟠</t>
        </is>
      </c>
      <c r="C11" s="20" t="n">
        <v>61</v>
      </c>
      <c r="D11" s="21" t="inlineStr">
        <is>
          <t>61 models have an AR available but OGM Plan is missing despite the validation falling after the 07/01/2025 cutoff. OGM plan must be obtained or exception documented.</t>
        </is>
      </c>
    </row>
    <row r="12" ht="40" customHeight="1">
      <c r="A12" s="22" t="inlineStr">
        <is>
          <t>HIGH</t>
        </is>
      </c>
      <c r="B12" s="23" t="inlineStr">
        <is>
          <t>🟡</t>
        </is>
      </c>
      <c r="C12" s="24" t="n">
        <v>39</v>
      </c>
      <c r="D12" s="25" t="inlineStr">
        <is>
          <t>39 models are missing QC documentation post the 10/01/2025 cutoff. QC evidence must be located or validation re-performed.</t>
        </is>
      </c>
    </row>
    <row r="13" ht="40" customHeight="1">
      <c r="A13" s="26" t="inlineStr">
        <is>
          <t>INFORMATIONAL</t>
        </is>
      </c>
      <c r="B13" s="27" t="inlineStr">
        <is>
          <t>🟢</t>
        </is>
      </c>
      <c r="C13" s="28" t="n">
        <v>91</v>
      </c>
      <c r="D13" s="29" t="inlineStr">
        <is>
          <t>91 models are Retired / Re-Designated / Cancelled / Not in Use. Should be formally closed in the tracker and communicated to the client.</t>
        </is>
      </c>
    </row>
    <row r="14" ht="6" customHeight="1"/>
    <row r="15" ht="20" customHeight="1">
      <c r="A15" s="30" t="inlineStr">
        <is>
          <t>IMPORTANT NOTES</t>
        </is>
      </c>
    </row>
    <row r="16" ht="28" customHeight="1">
      <c r="A16" s="31" t="inlineStr">
        <is>
          <t>1.  All counts are based on data visible in the tracker as of May 2026. Counts marked ~ are estimates from comments and should be confirmed against the live tracker.</t>
        </is>
      </c>
    </row>
    <row r="17" ht="28" customHeight="1">
      <c r="A17" s="31" t="inlineStr">
        <is>
          <t>2.  A model may appear in more than one category if it has multiple issues. Total issue counts will therefore exceed the unique model count.</t>
        </is>
      </c>
    </row>
    <row r="18" ht="28" customHeight="1">
      <c r="A18" s="31" t="inlineStr">
        <is>
          <t>3.  Duplicate Model ID rows are counted using distinct Model ID logic — confirm COUNTIF formulas use the deduplication approach from the FormulasHelp tab.</t>
        </is>
      </c>
    </row>
    <row r="19" ht="28" customHeight="1">
      <c r="A19" s="31" t="inlineStr">
        <is>
          <t>4.  OGM Plan Review cutoff: 07/01/2025.  QC Release cutoff: 10/01/2025.  LSV requires only OGM Plan Review — no QC or Risk Tier.</t>
        </is>
      </c>
    </row>
  </sheetData>
  <mergeCells count="19">
    <mergeCell ref="A15:H15"/>
    <mergeCell ref="D10:H10"/>
    <mergeCell ref="C5:D5"/>
    <mergeCell ref="E5:F5"/>
    <mergeCell ref="A1:H1"/>
    <mergeCell ref="C4:D4"/>
    <mergeCell ref="E4:F4"/>
    <mergeCell ref="A16:H16"/>
    <mergeCell ref="D11:H11"/>
    <mergeCell ref="D13:H13"/>
    <mergeCell ref="A18:H18"/>
    <mergeCell ref="A2:H2"/>
    <mergeCell ref="A5:B5"/>
    <mergeCell ref="A8:H8"/>
    <mergeCell ref="D9:H9"/>
    <mergeCell ref="A17:H17"/>
    <mergeCell ref="A4:B4"/>
    <mergeCell ref="D12:H12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55" customWidth="1" min="3" max="3"/>
    <col width="12" customWidth="1" min="4" max="4"/>
    <col width="5" customWidth="1" min="5" max="5"/>
  </cols>
  <sheetData>
    <row r="1" ht="36" customHeight="1">
      <c r="A1" s="32" t="inlineStr">
        <is>
          <t>CATEGORY-BY-CATEGORY ANALYSIS</t>
        </is>
      </c>
    </row>
    <row r="3" ht="22" customHeight="1">
      <c r="A3" s="33" t="inlineStr">
        <is>
          <t>2.1  No Validation in Period (Q1-2025 to Q1-2026)</t>
        </is>
      </c>
    </row>
    <row r="4" ht="16" customHeight="1">
      <c r="A4" s="14" t="inlineStr">
        <is>
          <t>Priority</t>
        </is>
      </c>
      <c r="B4" s="14" t="inlineStr">
        <is>
          <t>CRITICAL</t>
        </is>
      </c>
      <c r="C4" s="14" t="inlineStr">
        <is>
          <t>Count</t>
        </is>
      </c>
      <c r="D4" s="14" t="n">
        <v>35</v>
      </c>
      <c r="E4" s="34" t="inlineStr">
        <is>
          <t>Definition</t>
        </is>
      </c>
    </row>
    <row r="5" ht="40" customHeight="1">
      <c r="A5" s="35" t="inlineStr">
        <is>
          <t>Models with no FSV, AR, or LSV activity recorded between Q1-2025 and Q1-2026. The last validation event pre-dates the reporting window.</t>
        </is>
      </c>
    </row>
    <row r="6" ht="18" customHeight="1">
      <c r="A6" s="30" t="inlineStr">
        <is>
          <t>Sub-Category</t>
        </is>
      </c>
      <c r="B6" s="30" t="inlineStr">
        <is>
          <t>Est. Count</t>
        </is>
      </c>
      <c r="C6" s="30" t="inlineStr">
        <is>
          <t>Evidence from Comments</t>
        </is>
      </c>
    </row>
    <row r="7" ht="28" customHeight="1">
      <c r="A7" s="36" t="inlineStr">
        <is>
          <t>Last validation pre-dates Q1-2025 (AR/FSV in 2024)</t>
        </is>
      </c>
      <c r="B7" s="36" t="inlineStr">
        <is>
          <t>~20</t>
        </is>
      </c>
      <c r="C7" s="36" t="inlineStr">
        <is>
          <t>Last AR: 04/22/24, 09/30/24, 08/26/24 etc.</t>
        </is>
      </c>
    </row>
    <row r="8" ht="28" customHeight="1">
      <c r="A8" s="37" t="inlineStr">
        <is>
          <t>Never validated (no initial FSV)</t>
        </is>
      </c>
      <c r="B8" s="37" t="inlineStr">
        <is>
          <t>~8</t>
        </is>
      </c>
      <c r="C8" s="37" t="inlineStr">
        <is>
          <t>'No initial FSV has been done'</t>
        </is>
      </c>
    </row>
    <row r="9" ht="28" customHeight="1">
      <c r="A9" s="36" t="inlineStr">
        <is>
          <t>LSV done but OGM Plan = No</t>
        </is>
      </c>
      <c r="B9" s="36" t="inlineStr">
        <is>
          <t>~7</t>
        </is>
      </c>
      <c r="C9" s="36" t="inlineStr">
        <is>
          <t>LSV date present, OGM Review = No</t>
        </is>
      </c>
    </row>
    <row r="10" ht="16" customHeight="1">
      <c r="A10" s="38" t="inlineStr">
        <is>
          <t>Recommended Analysis Steps</t>
        </is>
      </c>
    </row>
    <row r="11" ht="22" customHeight="1">
      <c r="A11" s="35" t="inlineStr">
        <is>
          <t xml:space="preserve">  1.  Filter tracker to Category = 'No Validation has been'. Review the Last Validation Date column.</t>
        </is>
      </c>
    </row>
    <row r="12" ht="22" customHeight="1">
      <c r="A12" s="35" t="inlineStr">
        <is>
          <t xml:space="preserve">  2.  Sub-group by: (a) date before Q1-2025, (b) never validated, (c) LSV with OGM = No.</t>
        </is>
      </c>
    </row>
    <row r="13" ht="22" customHeight="1">
      <c r="A13" s="35" t="inlineStr">
        <is>
          <t xml:space="preserve">  3.  For in-use models: flag for urgent scheduling. For retired models: close in tracker.</t>
        </is>
      </c>
    </row>
    <row r="14" ht="22" customHeight="1">
      <c r="A14" s="35" t="inlineStr">
        <is>
          <t xml:space="preserve">  4.  For never-validated models: determine if new (schedule FSV) or legacy (grandfathered).</t>
        </is>
      </c>
    </row>
    <row r="16" ht="22" customHeight="1">
      <c r="A16" s="33" t="inlineStr">
        <is>
          <t>2.2  AR Available — OGM Plan Not Available (post-07/01/2025)</t>
        </is>
      </c>
    </row>
    <row r="17" ht="16" customHeight="1">
      <c r="A17" s="18" t="inlineStr">
        <is>
          <t>Priority</t>
        </is>
      </c>
      <c r="B17" s="18" t="inlineStr">
        <is>
          <t>HIGH</t>
        </is>
      </c>
      <c r="C17" s="18" t="inlineStr">
        <is>
          <t>Count</t>
        </is>
      </c>
      <c r="D17" s="18" t="n">
        <v>61</v>
      </c>
      <c r="E17" s="34" t="inlineStr">
        <is>
          <t>Definition</t>
        </is>
      </c>
    </row>
    <row r="18" ht="40" customHeight="1">
      <c r="A18" s="35" t="inlineStr">
        <is>
          <t>An Annual Review (AR) was completed on or after 07/01/2025, making OGM Plan Review mandatory. However, the OGM Plan column is blank or 'Not Available'.</t>
        </is>
      </c>
    </row>
    <row r="19" ht="18" customHeight="1">
      <c r="A19" s="30" t="inlineStr">
        <is>
          <t>Step</t>
        </is>
      </c>
      <c r="B19" s="30" t="inlineStr">
        <is>
          <t>Action</t>
        </is>
      </c>
      <c r="C19" s="30" t="inlineStr">
        <is>
          <t>Detail</t>
        </is>
      </c>
    </row>
    <row r="20" ht="28" customHeight="1">
      <c r="A20" s="36" t="inlineStr">
        <is>
          <t>1</t>
        </is>
      </c>
      <c r="B20" s="36" t="inlineStr">
        <is>
          <t>Filter by category</t>
        </is>
      </c>
      <c r="C20" s="36" t="inlineStr">
        <is>
          <t>Category = 'AR is available, OGM not available after 07/01/2025'</t>
        </is>
      </c>
    </row>
    <row r="21" ht="28" customHeight="1">
      <c r="A21" s="37" t="inlineStr">
        <is>
          <t>2</t>
        </is>
      </c>
      <c r="B21" s="37" t="inlineStr">
        <is>
          <t>Confirm AR date</t>
        </is>
      </c>
      <c r="C21" s="37" t="inlineStr">
        <is>
          <t>Verify AR Date &gt;= 07/01/2025 — not a data-entry error</t>
        </is>
      </c>
    </row>
    <row r="22" ht="28" customHeight="1">
      <c r="A22" s="36" t="inlineStr">
        <is>
          <t>3</t>
        </is>
      </c>
      <c r="B22" s="36" t="inlineStr">
        <is>
          <t>Check workpapers</t>
        </is>
      </c>
      <c r="C22" s="36" t="inlineStr">
        <is>
          <t>OGM Plan may exist in AV document but not recorded in tracker</t>
        </is>
      </c>
    </row>
    <row r="23" ht="28" customHeight="1">
      <c r="A23" s="37" t="inlineStr">
        <is>
          <t>4</t>
        </is>
      </c>
      <c r="B23" s="37" t="inlineStr">
        <is>
          <t>If truly missing</t>
        </is>
      </c>
      <c r="C23" s="37" t="inlineStr">
        <is>
          <t>Escalate to model owner; raise formal exception if needed</t>
        </is>
      </c>
    </row>
    <row r="24" ht="28" customHeight="1">
      <c r="A24" s="36" t="inlineStr">
        <is>
          <t>5</t>
        </is>
      </c>
      <c r="B24" s="36" t="inlineStr">
        <is>
          <t>Document resolution</t>
        </is>
      </c>
      <c r="C24" s="36" t="inlineStr">
        <is>
          <t>Update Comments column; move Category to 'All required assessments completed'</t>
        </is>
      </c>
    </row>
    <row r="26" ht="22" customHeight="1">
      <c r="A26" s="33" t="inlineStr">
        <is>
          <t>2.3  QC Not Available / Wrong Format (post-10/01/2025)</t>
        </is>
      </c>
    </row>
    <row r="27" ht="16" customHeight="1">
      <c r="A27" s="18" t="inlineStr">
        <is>
          <t>Priority</t>
        </is>
      </c>
      <c r="B27" s="18" t="inlineStr">
        <is>
          <t>HIGH</t>
        </is>
      </c>
      <c r="C27" s="18" t="inlineStr">
        <is>
          <t>Count</t>
        </is>
      </c>
      <c r="D27" s="18" t="inlineStr">
        <is>
          <t>39 + 2</t>
        </is>
      </c>
      <c r="E27" s="34" t="inlineStr">
        <is>
          <t>Definition</t>
        </is>
      </c>
    </row>
    <row r="28" ht="40" customHeight="1">
      <c r="A28" s="35" t="inlineStr">
        <is>
          <t>For FSV/AR events dated &gt;= 10/01/2025, a QC review is mandatory. 39 models are missing QC evidence; 2 models have QC in the wrong format.</t>
        </is>
      </c>
    </row>
    <row r="29" ht="18" customHeight="1">
      <c r="A29" s="30" t="inlineStr">
        <is>
          <t>Sub-Type</t>
        </is>
      </c>
      <c r="B29" s="30" t="inlineStr">
        <is>
          <t>Count</t>
        </is>
      </c>
      <c r="C29" s="30" t="inlineStr">
        <is>
          <t>Resolution</t>
        </is>
      </c>
    </row>
    <row r="30" ht="28" customHeight="1">
      <c r="A30" s="36" t="inlineStr">
        <is>
          <t>QC evidence missing</t>
        </is>
      </c>
      <c r="B30" s="36" t="inlineStr">
        <is>
          <t>39</t>
        </is>
      </c>
      <c r="C30" s="36" t="inlineStr">
        <is>
          <t>Escalate to validation team — locate evidence or re-perform QC step</t>
        </is>
      </c>
    </row>
    <row r="31" ht="28" customHeight="1">
      <c r="A31" s="37" t="inlineStr">
        <is>
          <t>QC wrong format / template</t>
        </is>
      </c>
      <c r="B31" s="37" t="inlineStr">
        <is>
          <t>2</t>
        </is>
      </c>
      <c r="C31" s="37" t="inlineStr">
        <is>
          <t>Easier fix — reformat to correct template; no re-performance required</t>
        </is>
      </c>
    </row>
    <row r="32" ht="16" customHeight="1">
      <c r="A32" s="38" t="inlineStr">
        <is>
          <t>Recommended Analysis Steps</t>
        </is>
      </c>
    </row>
    <row r="33" ht="22" customHeight="1">
      <c r="A33" s="35" t="inlineStr">
        <is>
          <t xml:space="preserve">  1.  Confirm FSV/AR date is genuinely &gt;= 10/01/2025 — double-check dates near the cutoff.</t>
        </is>
      </c>
    </row>
    <row r="34" ht="22" customHeight="1">
      <c r="A34" s="35" t="inlineStr">
        <is>
          <t xml:space="preserve">  2.  Check whether QC was completed in SNOW Validation task vs a separate document.</t>
        </is>
      </c>
    </row>
    <row r="35" ht="22" customHeight="1">
      <c r="A35" s="35" t="inlineStr">
        <is>
          <t xml:space="preserve">  3.  For missing QC: escalate to QC Lead (Adam/Bobby) to locate evidence or re-perform.</t>
        </is>
      </c>
    </row>
    <row r="37" ht="22" customHeight="1">
      <c r="A37" s="33" t="inlineStr">
        <is>
          <t>2.4  'Other' Category — Detailed Sub-Issue Breakdown</t>
        </is>
      </c>
    </row>
    <row r="38" ht="16" customHeight="1">
      <c r="A38" s="22" t="inlineStr">
        <is>
          <t>Priority</t>
        </is>
      </c>
      <c r="B38" s="22" t="inlineStr">
        <is>
          <t>MEDIUM</t>
        </is>
      </c>
      <c r="C38" s="22" t="inlineStr">
        <is>
          <t>Count</t>
        </is>
      </c>
      <c r="D38" s="22" t="n">
        <v>91</v>
      </c>
      <c r="E38" s="34" t="inlineStr">
        <is>
          <t>Definition</t>
        </is>
      </c>
    </row>
    <row r="39" ht="40" customHeight="1">
      <c r="A39" s="35" t="inlineStr">
        <is>
          <t>The 'Other' category contains multiple distinct sub-issues that must be split for meaningful analysis and client reporting.</t>
        </is>
      </c>
    </row>
    <row r="40" ht="18" customHeight="1">
      <c r="A40" s="30" t="inlineStr">
        <is>
          <t>Sub-Issue</t>
        </is>
      </c>
      <c r="B40" s="30" t="inlineStr">
        <is>
          <t>~Count</t>
        </is>
      </c>
      <c r="C40" s="30" t="inlineStr">
        <is>
          <t>Evidence / Action</t>
        </is>
      </c>
    </row>
    <row r="41" ht="28" customHeight="1">
      <c r="A41" s="36" t="inlineStr">
        <is>
          <t>Retired / Re-Designated / Cancelled / Not in Use</t>
        </is>
      </c>
      <c r="B41" s="36" t="inlineStr">
        <is>
          <t>91</t>
        </is>
      </c>
      <c r="C41" s="36" t="inlineStr">
        <is>
          <t>Formally close in tracker; communicate to client</t>
        </is>
      </c>
    </row>
    <row r="42" ht="28" customHeight="1">
      <c r="A42" s="37" t="inlineStr">
        <is>
          <t>Exception raised — model on track for development</t>
        </is>
      </c>
      <c r="B42" s="37" t="inlineStr">
        <is>
          <t>~5</t>
        </is>
      </c>
      <c r="C42" s="37" t="inlineStr">
        <is>
          <t>Confirm exception ref and development schedule</t>
        </is>
      </c>
    </row>
    <row r="43" ht="28" customHeight="1">
      <c r="A43" s="36" t="inlineStr">
        <is>
          <t>FSV/AR closed with 'unable to validate' rating</t>
        </is>
      </c>
      <c r="B43" s="36" t="inlineStr">
        <is>
          <t>~4</t>
        </is>
      </c>
      <c r="C43" s="36" t="inlineStr">
        <is>
          <t>Review rating basis; determine if re-validation required</t>
        </is>
      </c>
    </row>
    <row r="44" ht="28" customHeight="1">
      <c r="A44" s="37" t="inlineStr">
        <is>
          <t>OGM Plan in AV but flagged incorrectly (pre-07/01/25)</t>
        </is>
      </c>
      <c r="B44" s="37" t="inlineStr">
        <is>
          <t>~6</t>
        </is>
      </c>
      <c r="C44" s="37" t="inlineStr">
        <is>
          <t>Verify AR date; correct tracker flag if pre-cutoff</t>
        </is>
      </c>
    </row>
    <row r="45" ht="28" customHeight="1">
      <c r="A45" s="36" t="inlineStr">
        <is>
          <t>AV document / Report not available on SNOW</t>
        </is>
      </c>
      <c r="B45" s="36" t="inlineStr">
        <is>
          <t>~3</t>
        </is>
      </c>
      <c r="C45" s="36" t="inlineStr">
        <is>
          <t>Escalate to SNOW Admin to locate or re-upload</t>
        </is>
      </c>
    </row>
    <row r="46" ht="28" customHeight="1">
      <c r="A46" s="37" t="inlineStr">
        <is>
          <t>Reference to email thread (RE: AB1233)</t>
        </is>
      </c>
      <c r="B46" s="37" t="inlineStr">
        <is>
          <t>~3</t>
        </is>
      </c>
      <c r="C46" s="37" t="inlineStr">
        <is>
          <t>Trace thread; ensure findings captured in tracker</t>
        </is>
      </c>
    </row>
    <row r="47" ht="28" customHeight="1">
      <c r="A47" s="36" t="inlineStr">
        <is>
          <t>FSV does not contain OGM plan assessment</t>
        </is>
      </c>
      <c r="B47" s="36" t="inlineStr">
        <is>
          <t>~7</t>
        </is>
      </c>
      <c r="C47" s="36" t="inlineStr">
        <is>
          <t>Obtain OGM assessment or raise exception</t>
        </is>
      </c>
    </row>
    <row r="48" ht="28" customHeight="1">
      <c r="A48" s="37" t="inlineStr">
        <is>
          <t>LSV done but OGM not available after cutoff</t>
        </is>
      </c>
      <c r="B48" s="37" t="inlineStr">
        <is>
          <t>~5</t>
        </is>
      </c>
      <c r="C48" s="37" t="inlineStr">
        <is>
          <t>Complete OGM Plan Review or raise exception</t>
        </is>
      </c>
    </row>
    <row r="49" ht="28" customHeight="1">
      <c r="A49" s="36" t="inlineStr">
        <is>
          <t>QC performed before 10/01/2025 — marked '-'</t>
        </is>
      </c>
      <c r="B49" s="36" t="inlineStr">
        <is>
          <t>~4</t>
        </is>
      </c>
      <c r="C49" s="36" t="inlineStr">
        <is>
          <t>No action required; verify the marker is correct</t>
        </is>
      </c>
    </row>
    <row r="50" ht="16" customHeight="1">
      <c r="A50" s="38" t="inlineStr">
        <is>
          <t>Recommended Analysis Steps</t>
        </is>
      </c>
    </row>
    <row r="51" ht="22" customHeight="1">
      <c r="A51" s="35" t="inlineStr">
        <is>
          <t xml:space="preserve">  1.  Add helper column 'Other Sub-Type' in your tracker.</t>
        </is>
      </c>
    </row>
    <row r="52" ht="22" customHeight="1">
      <c r="A52" s="35" t="inlineStr">
        <is>
          <t xml:space="preserve">  2.  Use IF/SEARCH formulas to auto-tag each row (see Formulas &amp; Steps sheet).</t>
        </is>
      </c>
    </row>
    <row r="53" ht="22" customHeight="1">
      <c r="A53" s="35" t="inlineStr">
        <is>
          <t xml:space="preserve">  3.  Create a pivot table on 'Other Sub-Type' to count each sub-issue.</t>
        </is>
      </c>
    </row>
    <row r="54" ht="22" customHeight="1">
      <c r="A54" s="35" t="inlineStr">
        <is>
          <t xml:space="preserve">  4.  Replace the single 'Other: 91' in your dashboard with the broken-out sub-counts.</t>
        </is>
      </c>
    </row>
  </sheetData>
  <mergeCells count="23">
    <mergeCell ref="A39:E39"/>
    <mergeCell ref="A34:E34"/>
    <mergeCell ref="A11:E11"/>
    <mergeCell ref="A51:E51"/>
    <mergeCell ref="A1:E1"/>
    <mergeCell ref="A16:E16"/>
    <mergeCell ref="A54:E54"/>
    <mergeCell ref="A37:E37"/>
    <mergeCell ref="A18:E18"/>
    <mergeCell ref="A3:E3"/>
    <mergeCell ref="A12:E12"/>
    <mergeCell ref="A50:E50"/>
    <mergeCell ref="A26:E26"/>
    <mergeCell ref="A33:E33"/>
    <mergeCell ref="A5:E5"/>
    <mergeCell ref="A32:E32"/>
    <mergeCell ref="A14:E14"/>
    <mergeCell ref="A53:E53"/>
    <mergeCell ref="A35:E35"/>
    <mergeCell ref="A52:E52"/>
    <mergeCell ref="A10:E10"/>
    <mergeCell ref="A28:E28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28" customWidth="1" min="3" max="3"/>
    <col width="11" customWidth="1" min="4" max="4"/>
    <col width="28" customWidth="1" min="5" max="5"/>
    <col width="12" customWidth="1" min="6" max="6"/>
  </cols>
  <sheetData>
    <row r="1" ht="36" customHeight="1">
      <c r="A1" s="32" t="inlineStr">
        <is>
          <t>RECOMMENDED ACTION PLAN</t>
        </is>
      </c>
    </row>
    <row r="2" ht="6" customHeight="1"/>
    <row r="3" ht="18" customHeight="1">
      <c r="A3" s="13" t="inlineStr">
        <is>
          <t>Ref</t>
        </is>
      </c>
      <c r="B3" s="13" t="inlineStr">
        <is>
          <t>Action Required</t>
        </is>
      </c>
      <c r="C3" s="13" t="inlineStr">
        <is>
          <t>Applicable To</t>
        </is>
      </c>
      <c r="D3" s="13" t="inlineStr">
        <is>
          <t>Priority</t>
        </is>
      </c>
      <c r="E3" s="13" t="inlineStr">
        <is>
          <t>Owner</t>
        </is>
      </c>
      <c r="F3" s="13" t="inlineStr">
        <is>
          <t>Status</t>
        </is>
      </c>
    </row>
    <row r="4" ht="30" customHeight="1">
      <c r="A4" s="39" t="inlineStr">
        <is>
          <t>A1</t>
        </is>
      </c>
      <c r="B4" s="36" t="inlineStr">
        <is>
          <t>Triage all 35 'No Validation' models — confirm active/retired status</t>
        </is>
      </c>
      <c r="C4" s="36" t="inlineStr">
        <is>
          <t>No Validation (35 models)</t>
        </is>
      </c>
      <c r="D4" s="14" t="inlineStr">
        <is>
          <t>Critical</t>
        </is>
      </c>
      <c r="E4" s="36" t="inlineStr">
        <is>
          <t>Model Risk / Validation Team</t>
        </is>
      </c>
      <c r="F4" s="40" t="inlineStr">
        <is>
          <t>Open</t>
        </is>
      </c>
    </row>
    <row r="5" ht="30" customHeight="1">
      <c r="A5" s="41" t="inlineStr">
        <is>
          <t>A2</t>
        </is>
      </c>
      <c r="B5" s="37" t="inlineStr">
        <is>
          <t>Schedule FSV/AR for all In Use models with no validation in period</t>
        </is>
      </c>
      <c r="C5" s="37" t="inlineStr">
        <is>
          <t>No Validation → In Use</t>
        </is>
      </c>
      <c r="D5" s="14" t="inlineStr">
        <is>
          <t>Critical</t>
        </is>
      </c>
      <c r="E5" s="37" t="inlineStr">
        <is>
          <t>Model Owners</t>
        </is>
      </c>
      <c r="F5" s="42" t="inlineStr">
        <is>
          <t>Open</t>
        </is>
      </c>
    </row>
    <row r="6" ht="30" customHeight="1">
      <c r="A6" s="39" t="inlineStr">
        <is>
          <t>A3</t>
        </is>
      </c>
      <c r="B6" s="36" t="inlineStr">
        <is>
          <t>Formally retire/close models tagged 'No Validation' that are Retired</t>
        </is>
      </c>
      <c r="C6" s="36" t="inlineStr">
        <is>
          <t>No Validation → Retired</t>
        </is>
      </c>
      <c r="D6" s="18" t="inlineStr">
        <is>
          <t>High</t>
        </is>
      </c>
      <c r="E6" s="36" t="inlineStr">
        <is>
          <t>Tracker Owner</t>
        </is>
      </c>
      <c r="F6" s="40" t="inlineStr">
        <is>
          <t>Open</t>
        </is>
      </c>
    </row>
    <row r="7" ht="30" customHeight="1">
      <c r="A7" s="41" t="inlineStr">
        <is>
          <t>A4</t>
        </is>
      </c>
      <c r="B7" s="37" t="inlineStr">
        <is>
          <t>Obtain OGM Plan for 61 AR models missing it (post-07/01/2025)</t>
        </is>
      </c>
      <c r="C7" s="37" t="inlineStr">
        <is>
          <t>AR + OGM Missing (61)</t>
        </is>
      </c>
      <c r="D7" s="18" t="inlineStr">
        <is>
          <t>High</t>
        </is>
      </c>
      <c r="E7" s="37" t="inlineStr">
        <is>
          <t>Validation Team</t>
        </is>
      </c>
      <c r="F7" s="42" t="inlineStr">
        <is>
          <t>Open</t>
        </is>
      </c>
    </row>
    <row r="8" ht="30" customHeight="1">
      <c r="A8" s="39" t="inlineStr">
        <is>
          <t>A5</t>
        </is>
      </c>
      <c r="B8" s="36" t="inlineStr">
        <is>
          <t>Locate or re-perform QC for 39 models missing QC post-10/01/2025</t>
        </is>
      </c>
      <c r="C8" s="36" t="inlineStr">
        <is>
          <t>QC Missing (39)</t>
        </is>
      </c>
      <c r="D8" s="18" t="inlineStr">
        <is>
          <t>High</t>
        </is>
      </c>
      <c r="E8" s="36" t="inlineStr">
        <is>
          <t>QC Lead / Adam &amp; Bobby</t>
        </is>
      </c>
      <c r="F8" s="40" t="inlineStr">
        <is>
          <t>Open</t>
        </is>
      </c>
    </row>
    <row r="9" ht="30" customHeight="1">
      <c r="A9" s="41" t="inlineStr">
        <is>
          <t>A6</t>
        </is>
      </c>
      <c r="B9" s="37" t="inlineStr">
        <is>
          <t>Reformat QC documents for 2 models with wrong QC format</t>
        </is>
      </c>
      <c r="C9" s="37" t="inlineStr">
        <is>
          <t>QC Wrong Format (2)</t>
        </is>
      </c>
      <c r="D9" s="22" t="inlineStr">
        <is>
          <t>Medium</t>
        </is>
      </c>
      <c r="E9" s="37" t="inlineStr">
        <is>
          <t>Validation Team</t>
        </is>
      </c>
      <c r="F9" s="42" t="inlineStr">
        <is>
          <t>Open</t>
        </is>
      </c>
    </row>
    <row r="10" ht="30" customHeight="1">
      <c r="A10" s="39" t="inlineStr">
        <is>
          <t>A7</t>
        </is>
      </c>
      <c r="B10" s="36" t="inlineStr">
        <is>
          <t>Close out Retired/Cancelled models — update tracker status</t>
        </is>
      </c>
      <c r="C10" s="36" t="inlineStr">
        <is>
          <t>Other: Retired 91 models</t>
        </is>
      </c>
      <c r="D10" s="22" t="inlineStr">
        <is>
          <t>Medium</t>
        </is>
      </c>
      <c r="E10" s="36" t="inlineStr">
        <is>
          <t>Tracker Owner</t>
        </is>
      </c>
      <c r="F10" s="40" t="inlineStr">
        <is>
          <t>Open</t>
        </is>
      </c>
    </row>
    <row r="11" ht="30" customHeight="1">
      <c r="A11" s="41" t="inlineStr">
        <is>
          <t>A8</t>
        </is>
      </c>
      <c r="B11" s="37" t="inlineStr">
        <is>
          <t>Resolve 'Exception Raised' models — confirm development schedule</t>
        </is>
      </c>
      <c r="C11" s="37" t="inlineStr">
        <is>
          <t>Other: Exceptions (~5)</t>
        </is>
      </c>
      <c r="D11" s="22" t="inlineStr">
        <is>
          <t>Medium</t>
        </is>
      </c>
      <c r="E11" s="37" t="inlineStr">
        <is>
          <t>Model Development Team</t>
        </is>
      </c>
      <c r="F11" s="42" t="inlineStr">
        <is>
          <t>Open</t>
        </is>
      </c>
    </row>
    <row r="12" ht="30" customHeight="1">
      <c r="A12" s="39" t="inlineStr">
        <is>
          <t>A9</t>
        </is>
      </c>
      <c r="B12" s="36" t="inlineStr">
        <is>
          <t>Locate AV documents missing from SNOW (~3 models)</t>
        </is>
      </c>
      <c r="C12" s="36" t="inlineStr">
        <is>
          <t>Other: Missing on SNOW</t>
        </is>
      </c>
      <c r="D12" s="22" t="inlineStr">
        <is>
          <t>Medium</t>
        </is>
      </c>
      <c r="E12" s="36" t="inlineStr">
        <is>
          <t>SNOW Admin / Validation Team</t>
        </is>
      </c>
      <c r="F12" s="40" t="inlineStr">
        <is>
          <t>Open</t>
        </is>
      </c>
    </row>
    <row r="13" ht="30" customHeight="1">
      <c r="A13" s="41" t="inlineStr">
        <is>
          <t>A10</t>
        </is>
      </c>
      <c r="B13" s="37" t="inlineStr">
        <is>
          <t>Break 'Other' into sub-categories in tracker for cleaner reporting</t>
        </is>
      </c>
      <c r="C13" s="37" t="inlineStr">
        <is>
          <t>All 'Other' models</t>
        </is>
      </c>
      <c r="D13" s="26" t="inlineStr">
        <is>
          <t>Low</t>
        </is>
      </c>
      <c r="E13" s="37" t="inlineStr">
        <is>
          <t>Tracker Owner</t>
        </is>
      </c>
      <c r="F13" s="42" t="inlineStr">
        <is>
          <t>Open</t>
        </is>
      </c>
    </row>
    <row r="14" ht="30" customHeight="1">
      <c r="A14" s="39" t="inlineStr">
        <is>
          <t>A11</t>
        </is>
      </c>
      <c r="B14" s="36" t="inlineStr">
        <is>
          <t>Add 'Sub-Category' and 'Days Since Last Val' helper columns to tracker</t>
        </is>
      </c>
      <c r="C14" s="36" t="inlineStr">
        <is>
          <t>Tracker Enhancement</t>
        </is>
      </c>
      <c r="D14" s="26" t="inlineStr">
        <is>
          <t>Low</t>
        </is>
      </c>
      <c r="E14" s="36" t="inlineStr">
        <is>
          <t>Tracker Owner</t>
        </is>
      </c>
      <c r="F14" s="40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  <col width="40" customWidth="1" min="4" max="4"/>
  </cols>
  <sheetData>
    <row r="1" ht="36" customHeight="1">
      <c r="A1" s="32" t="inlineStr">
        <is>
          <t>HOW TO BUILD THE ANALYSIS IN YOUR TRACKER</t>
        </is>
      </c>
    </row>
    <row r="4" ht="22" customHeight="1">
      <c r="A4" s="33" t="inlineStr">
        <is>
          <t>STEP 1  —  Add a 'Sub-Category' Helper Column</t>
        </is>
      </c>
    </row>
    <row r="5" ht="44" customHeight="1">
      <c r="A5" s="43" t="inlineStr">
        <is>
          <t>In your tracker, add a column after 'Comments'. Label it 'Sub-Category'. Use the formula below (adjust column letters to match your layout).</t>
        </is>
      </c>
    </row>
    <row r="6" ht="46" customHeight="1">
      <c r="A6" s="44">
        <f>IF(A2="","Blank",IF(ISNUMBER(SEARCH("No Validation",E2)),"No Validation",IF(ISNUMBER(SEARCH("unable to validate",F2)),"Unable to Validate",IF(ISNUMBER(SEARCH("exception",F2)),"Exception",IF(ISNUMBER(SEARCH("SNOW",F2)),"Missing on SNOW",IF(ISNUMBER(SEARCH("OGM plan is not done",F2)),"OGM Missing","Other-Review"))))))</f>
        <v/>
      </c>
    </row>
    <row r="8" ht="22" customHeight="1">
      <c r="A8" s="33" t="inlineStr">
        <is>
          <t>STEP 2  —  Create a Pivot Table on 'No Validation' Rows</t>
        </is>
      </c>
    </row>
    <row r="9" ht="44" customHeight="1">
      <c r="A9" s="43" t="inlineStr">
        <is>
          <t>Filter Category = 'No Validation has been'. Insert Pivot Table. Drag 'Last Validation Date' to Rows, 'Model ID' to Values (Count). Group dates by Year. Add 'Use Status' to Filters.</t>
        </is>
      </c>
    </row>
    <row r="11" ht="22" customHeight="1">
      <c r="A11" s="33" t="inlineStr">
        <is>
          <t>STEP 3  —  Analyse 'Other' Category Using Comments Keywords</t>
        </is>
      </c>
    </row>
    <row r="12" ht="44" customHeight="1">
      <c r="A12" s="43" t="inlineStr">
        <is>
          <t>Add a second helper column 'Other Sub-Type'. Use SEARCH() on Comments to auto-tag sub-issues. Then pivot on 'Other Sub-Type' to count each sub-issue.</t>
        </is>
      </c>
    </row>
    <row r="13" ht="46" customHeight="1">
      <c r="A13" s="44">
        <f>IF(ISNUMBER(SEARCH("unable to validate",Z2)),"Unable to Validate",IF(ISNUMBER(SEARCH("exception",Z2)),"Exception Raised",IF(ISNUMBER(SEARCH("not available on SNOW",Z2)),"Missing on SNOW","Review Manually")))</f>
        <v/>
      </c>
    </row>
    <row r="15" ht="22" customHeight="1">
      <c r="A15" s="33" t="inlineStr">
        <is>
          <t>STEP 4  —  Build a 'No Validation Detail' Tab</t>
        </is>
      </c>
    </row>
    <row r="16" ht="44" customHeight="1">
      <c r="A16" s="43" t="inlineStr">
        <is>
          <t>Create a new sheet 'NoVal_Detail'. Copy-paste only the 'No Validation' rows. Add: Last Val Date, Days Since Last Val, Sub-Type, Use Status, Model Owner, Next Scheduled Val. Sort by Days Since Last Val (desc).</t>
        </is>
      </c>
    </row>
    <row r="17" ht="46" customHeight="1">
      <c r="A17" s="44">
        <f>TODAY()-[Last_Validation_Date_Cell]</f>
        <v/>
      </c>
    </row>
    <row r="19" ht="22" customHeight="1">
      <c r="A19" s="12" t="inlineStr">
        <is>
          <t>CLIENT REPORT STRUCTURE</t>
        </is>
      </c>
    </row>
    <row r="20" ht="18" customHeight="1">
      <c r="A20" s="13" t="inlineStr">
        <is>
          <t>Report Section</t>
        </is>
      </c>
      <c r="B20" s="13" t="inlineStr">
        <is>
          <t>Length</t>
        </is>
      </c>
      <c r="C20" s="13" t="inlineStr">
        <is>
          <t>Content</t>
        </is>
      </c>
      <c r="D20" s="13" t="inlineStr">
        <is>
          <t>Notes</t>
        </is>
      </c>
    </row>
    <row r="21" ht="28" customHeight="1">
      <c r="A21" s="45" t="inlineStr">
        <is>
          <t>Layer 1 — Executive Summary</t>
        </is>
      </c>
      <c r="B21" s="40" t="inlineStr">
        <is>
          <t>1 page</t>
        </is>
      </c>
      <c r="C21" s="36" t="inlineStr">
        <is>
          <t>Dashboard KPI cards + top 3 findings + % completion</t>
        </is>
      </c>
      <c r="D21" s="46" t="inlineStr">
        <is>
          <t>Lead with this in client meetings</t>
        </is>
      </c>
    </row>
    <row r="22" ht="28" customHeight="1">
      <c r="A22" s="47" t="inlineStr">
        <is>
          <t>Layer 2 — Category Analysis</t>
        </is>
      </c>
      <c r="B22" s="42" t="inlineStr">
        <is>
          <t>2–3 pages</t>
        </is>
      </c>
      <c r="C22" s="37" t="inlineStr">
        <is>
          <t>One section per issue category with counts, sub-breakdown, and root cause</t>
        </is>
      </c>
      <c r="D22" s="48" t="inlineStr">
        <is>
          <t>Use the Category Analysis sheet</t>
        </is>
      </c>
    </row>
    <row r="23" ht="28" customHeight="1">
      <c r="A23" s="45" t="inlineStr">
        <is>
          <t>Layer 3 — Action Register</t>
        </is>
      </c>
      <c r="B23" s="40" t="inlineStr">
        <is>
          <t>1 page</t>
        </is>
      </c>
      <c r="C23" s="36" t="inlineStr">
        <is>
          <t>Action table A1–A11 with owner and target date columns</t>
        </is>
      </c>
      <c r="D23" s="46" t="inlineStr">
        <is>
          <t>Use the Action Plan sheet</t>
        </is>
      </c>
    </row>
    <row r="24" ht="28" customHeight="1">
      <c r="A24" s="47" t="inlineStr">
        <is>
          <t>Appendix — Model Lists</t>
        </is>
      </c>
      <c r="B24" s="42" t="inlineStr">
        <is>
          <t>As needed</t>
        </is>
      </c>
      <c r="C24" s="37" t="inlineStr">
        <is>
          <t>Full list of model IDs per category (filter from tracker and paste)</t>
        </is>
      </c>
      <c r="D24" s="48" t="inlineStr">
        <is>
          <t>Clients always ask what 'Other' means — show the breakdown</t>
        </is>
      </c>
    </row>
  </sheetData>
  <mergeCells count="13">
    <mergeCell ref="A1:D1"/>
    <mergeCell ref="A5:D5"/>
    <mergeCell ref="A9:D9"/>
    <mergeCell ref="A17:D17"/>
    <mergeCell ref="A8:D8"/>
    <mergeCell ref="A6:D6"/>
    <mergeCell ref="A12:D12"/>
    <mergeCell ref="A4:D4"/>
    <mergeCell ref="A15:D15"/>
    <mergeCell ref="A16:D16"/>
    <mergeCell ref="A11:D11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2026-05-14T02:49:00Z</dcterms:created>
  <dcterms:modified xmlns:dcterms="http://purl.org/dc/terms/" xmlns:xsi="http://www.w3.org/2001/XMLSchema-instance" xsi:type="dcterms:W3CDTF">2026-05-14T02:49:00Z</dcterms:modified>
</cp:coreProperties>
</file>